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46200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46200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Dvärghäxört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s="1" t="n">
        <v>45993</v>
      </c>
      <c r="C4" s="1" t="n">
        <v>46200</v>
      </c>
      <c r="D4" t="inlineStr">
        <is>
          <t>SKÅNE LÄN</t>
        </is>
      </c>
      <c r="E4" t="inlineStr">
        <is>
          <t>BJUV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Entita
Röd glada</t>
        </is>
      </c>
      <c r="S4">
        <f>HYPERLINK("https://klasma.github.io/Logging_1260/artfynd/A 59876-2025 artfynd.xlsx", "A 59876-2025")</f>
        <v/>
      </c>
      <c r="T4">
        <f>HYPERLINK("https://klasma.github.io/Logging_1260/kartor/A 59876-2025 karta.png", "A 59876-2025")</f>
        <v/>
      </c>
      <c r="V4">
        <f>HYPERLINK("https://klasma.github.io/Logging_1260/klagomål/A 59876-2025 FSC-klagomål.docx", "A 59876-2025")</f>
        <v/>
      </c>
      <c r="W4">
        <f>HYPERLINK("https://klasma.github.io/Logging_1260/klagomålsmail/A 59876-2025 FSC-klagomål mail.docx", "A 59876-2025")</f>
        <v/>
      </c>
      <c r="X4">
        <f>HYPERLINK("https://klasma.github.io/Logging_1260/tillsyn/A 59876-2025 tillsynsbegäran.docx", "A 59876-2025")</f>
        <v/>
      </c>
      <c r="Y4">
        <f>HYPERLINK("https://klasma.github.io/Logging_1260/tillsynsmail/A 59876-2025 tillsynsbegäran mail.docx", "A 59876-2025")</f>
        <v/>
      </c>
      <c r="Z4">
        <f>HYPERLINK("https://klasma.github.io/Logging_1260/fåglar/A 59876-2025 prioriterade fågelarter.docx", "A 59876-2025")</f>
        <v/>
      </c>
    </row>
    <row r="5" ht="15" customHeight="1">
      <c r="A5" t="inlineStr">
        <is>
          <t>A 54557-2023</t>
        </is>
      </c>
      <c r="B5" s="1" t="n">
        <v>45233</v>
      </c>
      <c r="C5" s="1" t="n">
        <v>46200</v>
      </c>
      <c r="D5" t="inlineStr">
        <is>
          <t>SKÅNE LÄN</t>
        </is>
      </c>
      <c r="E5" t="inlineStr">
        <is>
          <t>BJUV</t>
        </is>
      </c>
      <c r="G5" t="n">
        <v>3.8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57394-2024</t>
        </is>
      </c>
      <c r="B6" s="1" t="n">
        <v>45629</v>
      </c>
      <c r="C6" s="1" t="n">
        <v>46200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20202-2022</t>
        </is>
      </c>
      <c r="B7" s="1" t="n">
        <v>44698</v>
      </c>
      <c r="C7" s="1" t="n">
        <v>46200</v>
      </c>
      <c r="D7" t="inlineStr">
        <is>
          <t>SKÅNE LÄN</t>
        </is>
      </c>
      <c r="E7" t="inlineStr">
        <is>
          <t>BJUV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325-2024</t>
        </is>
      </c>
      <c r="B8" s="1" t="n">
        <v>45295</v>
      </c>
      <c r="C8" s="1" t="n">
        <v>46200</v>
      </c>
      <c r="D8" t="inlineStr">
        <is>
          <t>SKÅNE LÄN</t>
        </is>
      </c>
      <c r="E8" t="inlineStr">
        <is>
          <t>BJUV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38182-2024</t>
        </is>
      </c>
      <c r="B9" s="1" t="n">
        <v>45545</v>
      </c>
      <c r="C9" s="1" t="n">
        <v>46200</v>
      </c>
      <c r="D9" t="inlineStr">
        <is>
          <t>SKÅNE LÄN</t>
        </is>
      </c>
      <c r="E9" t="inlineStr">
        <is>
          <t>BJUV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59471-2024</t>
        </is>
      </c>
      <c r="B10" s="1" t="n">
        <v>45638</v>
      </c>
      <c r="C10" s="1" t="n">
        <v>46200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46200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20239-2025</t>
        </is>
      </c>
      <c r="B12" s="1" t="n">
        <v>45772</v>
      </c>
      <c r="C12" s="1" t="n">
        <v>46200</v>
      </c>
      <c r="D12" t="inlineStr">
        <is>
          <t>SKÅNE LÄN</t>
        </is>
      </c>
      <c r="E12" t="inlineStr">
        <is>
          <t>BJUV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20054-2024</t>
        </is>
      </c>
      <c r="B13" s="1" t="n">
        <v>45434</v>
      </c>
      <c r="C13" s="1" t="n">
        <v>46200</v>
      </c>
      <c r="D13" t="inlineStr">
        <is>
          <t>SKÅNE LÄN</t>
        </is>
      </c>
      <c r="E13" t="inlineStr">
        <is>
          <t>BJUV</t>
        </is>
      </c>
      <c r="G13" t="n">
        <v>7.3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18118-2022</t>
        </is>
      </c>
      <c r="B14" s="1" t="n">
        <v>44684</v>
      </c>
      <c r="C14" s="1" t="n">
        <v>46200</v>
      </c>
      <c r="D14" t="inlineStr">
        <is>
          <t>SKÅNE LÄN</t>
        </is>
      </c>
      <c r="E14" t="inlineStr">
        <is>
          <t>BJUV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46200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57391-2024</t>
        </is>
      </c>
      <c r="B16" s="1" t="n">
        <v>45629</v>
      </c>
      <c r="C16" s="1" t="n">
        <v>46200</v>
      </c>
      <c r="D16" t="inlineStr">
        <is>
          <t>SKÅNE LÄN</t>
        </is>
      </c>
      <c r="E16" t="inlineStr">
        <is>
          <t>BJUV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14674-2024</t>
        </is>
      </c>
      <c r="B17" s="1" t="n">
        <v>45397</v>
      </c>
      <c r="C17" s="1" t="n">
        <v>46200</v>
      </c>
      <c r="D17" t="inlineStr">
        <is>
          <t>SKÅNE LÄN</t>
        </is>
      </c>
      <c r="E17" t="inlineStr">
        <is>
          <t>BJUV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4574-2025</t>
        </is>
      </c>
      <c r="B18" s="1" t="n">
        <v>45687</v>
      </c>
      <c r="C18" s="1" t="n">
        <v>46200</v>
      </c>
      <c r="D18" t="inlineStr">
        <is>
          <t>SKÅNE LÄN</t>
        </is>
      </c>
      <c r="E18" t="inlineStr">
        <is>
          <t>BJUV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46998-2025</t>
        </is>
      </c>
      <c r="B19" s="1" t="n">
        <v>45929</v>
      </c>
      <c r="C19" s="1" t="n">
        <v>46200</v>
      </c>
      <c r="D19" t="inlineStr">
        <is>
          <t>SKÅNE LÄN</t>
        </is>
      </c>
      <c r="E19" t="inlineStr">
        <is>
          <t>BJUV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53218-2023</t>
        </is>
      </c>
      <c r="B20" s="1" t="n">
        <v>45229</v>
      </c>
      <c r="C20" s="1" t="n">
        <v>46200</v>
      </c>
      <c r="D20" t="inlineStr">
        <is>
          <t>SKÅNE LÄN</t>
        </is>
      </c>
      <c r="E20" t="inlineStr">
        <is>
          <t>BJUV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63548-2025</t>
        </is>
      </c>
      <c r="B21" s="1" t="n">
        <v>46013</v>
      </c>
      <c r="C21" s="1" t="n">
        <v>46200</v>
      </c>
      <c r="D21" t="inlineStr">
        <is>
          <t>SKÅNE LÄN</t>
        </is>
      </c>
      <c r="E21" t="inlineStr">
        <is>
          <t>BJUV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59877-2025</t>
        </is>
      </c>
      <c r="B22" s="1" t="n">
        <v>45993</v>
      </c>
      <c r="C22" s="1" t="n">
        <v>46200</v>
      </c>
      <c r="D22" t="inlineStr">
        <is>
          <t>SKÅNE LÄN</t>
        </is>
      </c>
      <c r="E22" t="inlineStr">
        <is>
          <t>BJUV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6679-2026</t>
        </is>
      </c>
      <c r="B23" s="1" t="n">
        <v>46056</v>
      </c>
      <c r="C23" s="1" t="n">
        <v>46200</v>
      </c>
      <c r="D23" t="inlineStr">
        <is>
          <t>SKÅNE LÄN</t>
        </is>
      </c>
      <c r="E23" t="inlineStr">
        <is>
          <t>BJUV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6684-2026</t>
        </is>
      </c>
      <c r="B24" s="1" t="n">
        <v>46056</v>
      </c>
      <c r="C24" s="1" t="n">
        <v>46200</v>
      </c>
      <c r="D24" t="inlineStr">
        <is>
          <t>SKÅNE LÄN</t>
        </is>
      </c>
      <c r="E24" t="inlineStr">
        <is>
          <t>BJUV</t>
        </is>
      </c>
      <c r="G24" t="n">
        <v>8.199999999999999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12510-2026</t>
        </is>
      </c>
      <c r="B25" s="1" t="n">
        <v>46090</v>
      </c>
      <c r="C25" s="1" t="n">
        <v>46200</v>
      </c>
      <c r="D25" t="inlineStr">
        <is>
          <t>SKÅNE LÄN</t>
        </is>
      </c>
      <c r="E25" t="inlineStr">
        <is>
          <t>BJUV</t>
        </is>
      </c>
      <c r="G25" t="n">
        <v>11.5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2026-06-27T00:56:29Z</dcterms:created>
  <dcterms:modified xmlns:dcterms="http://purl.org/dc/terms/" xmlns:xsi="http://www.w3.org/2001/XMLSchema-instance" xsi:type="dcterms:W3CDTF">2026-06-27T00:56:29Z</dcterms:modified>
</cp:coreProperties>
</file>