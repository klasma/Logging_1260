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46220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Entita
Röd glada</t>
        </is>
      </c>
      <c r="V3">
        <f>HYPERLINK("https://klasma.github.io/Logging_1260/artfynd/A 59876-2025 artfynd.xlsx", "A 59876-2025")</f>
        <v/>
      </c>
      <c r="W3">
        <f>HYPERLINK("https://klasma.github.io/Logging_1260/kartor/A 59876-2025 karta.png", "A 59876-2025")</f>
        <v/>
      </c>
      <c r="Y3">
        <f>HYPERLINK("https://klasma.github.io/Logging_1260/klagomål/A 59876-2025 FSC-klagomål.docx", "A 59876-2025")</f>
        <v/>
      </c>
      <c r="Z3">
        <f>HYPERLINK("https://klasma.github.io/Logging_1260/klagomålsmail/A 59876-2025 FSC-klagomål mail.docx", "A 59876-2025")</f>
        <v/>
      </c>
      <c r="AA3">
        <f>HYPERLINK("https://klasma.github.io/Logging_1260/tillsyn/A 59876-2025 tillsynsbegäran.docx", "A 59876-2025")</f>
        <v/>
      </c>
      <c r="AB3">
        <f>HYPERLINK("https://klasma.github.io/Logging_1260/tillsynsmail/A 59876-2025 tillsynsbegäran mail.docx", "A 59876-2025")</f>
        <v/>
      </c>
      <c r="AC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46220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Gulsparv
Dvärghäxört</t>
        </is>
      </c>
      <c r="V4">
        <f>HYPERLINK("https://klasma.github.io/Logging_1260/artfynd/A 50759-2025 artfynd.xlsx", "A 50759-2025")</f>
        <v/>
      </c>
      <c r="W4">
        <f>HYPERLINK("https://klasma.github.io/Logging_1260/kartor/A 50759-2025 karta.png", "A 50759-2025")</f>
        <v/>
      </c>
      <c r="Y4">
        <f>HYPERLINK("https://klasma.github.io/Logging_1260/klagomål/A 50759-2025 FSC-klagomål.docx", "A 50759-2025")</f>
        <v/>
      </c>
      <c r="Z4">
        <f>HYPERLINK("https://klasma.github.io/Logging_1260/klagomålsmail/A 50759-2025 FSC-klagomål mail.docx", "A 50759-2025")</f>
        <v/>
      </c>
      <c r="AA4">
        <f>HYPERLINK("https://klasma.github.io/Logging_1260/tillsyn/A 50759-2025 tillsynsbegäran.docx", "A 50759-2025")</f>
        <v/>
      </c>
      <c r="AB4">
        <f>HYPERLINK("https://klasma.github.io/Logging_1260/tillsynsmail/A 50759-2025 tillsynsbegäran mail.docx", "A 50759-2025")</f>
        <v/>
      </c>
      <c r="AC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46220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46220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46220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59877-2025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46220</v>
      </c>
      <c r="F10" t="inlineStr">
        <is>
          <t>SKÅNE LÄN</t>
        </is>
      </c>
      <c r="G10" t="inlineStr">
        <is>
          <t>BJUV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46220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46220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46220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46220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46220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46220</v>
      </c>
      <c r="F16" t="inlineStr">
        <is>
          <t>SKÅNE LÄN</t>
        </is>
      </c>
      <c r="G16" t="inlineStr">
        <is>
          <t>BJUV</t>
        </is>
      </c>
      <c r="I16" t="n">
        <v>11.5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46220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46220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46220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46220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46220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46220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46220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46220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2026-07-17T01:45:46Z</dcterms:modified>
</cp:coreProperties>
</file>