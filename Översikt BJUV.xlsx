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s="2" t="inlineStr">
        <is>
          <t>Björktrast
Duvhök
Entita
Spillkråka
Grönsiska
Kungsfågel</t>
        </is>
      </c>
      <c r="V2">
        <f>HYPERLINK("https://klasma.github.io/Logging_1260/artfynd/A 59875-2025 artfynd.xlsx", "A 59875-2025")</f>
        <v/>
      </c>
      <c r="W2">
        <f>HYPERLINK("https://klasma.github.io/Logging_1260/kartor/A 59875-2025 karta.png", "A 59875-2025")</f>
        <v/>
      </c>
      <c r="X2">
        <f>HYPERLINK("https://klasma.github.io/Logging_1260/kartor_geotiff/A 59875-2025 georefererad karta.tif", "A 59875-2025")</f>
        <v/>
      </c>
      <c r="Z2">
        <f>HYPERLINK("https://klasma.github.io/Logging_1260/klagomål/A 59875-2025 FSC-klagomål.docx", "A 59875-2025")</f>
        <v/>
      </c>
      <c r="AA2">
        <f>HYPERLINK("https://klasma.github.io/Logging_1260/klagomålsmail/A 59875-2025 FSC-klagomål mail.docx", "A 59875-2025")</f>
        <v/>
      </c>
      <c r="AB2">
        <f>HYPERLINK("https://klasma.github.io/Logging_1260/tillsyn/A 59875-2025 tillsynsbegäran.docx", "A 59875-2025")</f>
        <v/>
      </c>
      <c r="AC2">
        <f>HYPERLINK("https://klasma.github.io/Logging_1260/tillsynsmail/A 59875-2025 tillsynsbegäran mail.docx", "A 59875-2025")</f>
        <v/>
      </c>
      <c r="AD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46223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Gulsparv
Dvärghäxört</t>
        </is>
      </c>
      <c r="V3">
        <f>HYPERLINK("https://klasma.github.io/Logging_1260/artfynd/A 50759-2025 artfynd.xlsx", "A 50759-2025")</f>
        <v/>
      </c>
      <c r="W3">
        <f>HYPERLINK("https://klasma.github.io/Logging_1260/kartor/A 50759-2025 karta.png", "A 50759-2025")</f>
        <v/>
      </c>
      <c r="X3">
        <f>HYPERLINK("https://klasma.github.io/Logging_1260/kartor_geotiff/A 50759-2025 georefererad karta.tif", "A 50759-2025")</f>
        <v/>
      </c>
      <c r="Z3">
        <f>HYPERLINK("https://klasma.github.io/Logging_1260/klagomål/A 50759-2025 FSC-klagomål.docx", "A 50759-2025")</f>
        <v/>
      </c>
      <c r="AA3">
        <f>HYPERLINK("https://klasma.github.io/Logging_1260/klagomålsmail/A 50759-2025 FSC-klagomål mail.docx", "A 50759-2025")</f>
        <v/>
      </c>
      <c r="AB3">
        <f>HYPERLINK("https://klasma.github.io/Logging_1260/tillsyn/A 50759-2025 tillsynsbegäran.docx", "A 50759-2025")</f>
        <v/>
      </c>
      <c r="AC3">
        <f>HYPERLINK("https://klasma.github.io/Logging_1260/tillsynsmail/A 50759-2025 tillsynsbegäran mail.docx", "A 50759-2025")</f>
        <v/>
      </c>
      <c r="AD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46223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Entita
Röd glada</t>
        </is>
      </c>
      <c r="V4">
        <f>HYPERLINK("https://klasma.github.io/Logging_1260/artfynd/A 59876-2025 artfynd.xlsx", "A 59876-2025")</f>
        <v/>
      </c>
      <c r="W4">
        <f>HYPERLINK("https://klasma.github.io/Logging_1260/kartor/A 59876-2025 karta.png", "A 59876-2025")</f>
        <v/>
      </c>
      <c r="X4">
        <f>HYPERLINK("https://klasma.github.io/Logging_1260/kartor_geotiff/A 59876-2025 georefererad karta.tif", "A 59876-2025")</f>
        <v/>
      </c>
      <c r="Z4">
        <f>HYPERLINK("https://klasma.github.io/Logging_1260/klagomål/A 59876-2025 FSC-klagomål.docx", "A 59876-2025")</f>
        <v/>
      </c>
      <c r="AA4">
        <f>HYPERLINK("https://klasma.github.io/Logging_1260/klagomålsmail/A 59876-2025 FSC-klagomål mail.docx", "A 59876-2025")</f>
        <v/>
      </c>
      <c r="AB4">
        <f>HYPERLINK("https://klasma.github.io/Logging_1260/tillsyn/A 59876-2025 tillsynsbegäran.docx", "A 59876-2025")</f>
        <v/>
      </c>
      <c r="AC4">
        <f>HYPERLINK("https://klasma.github.io/Logging_1260/tillsynsmail/A 59876-2025 tillsynsbegäran mail.docx", "A 59876-2025")</f>
        <v/>
      </c>
      <c r="AD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HYPERLINK("https://klasma.github.io/Logging_1260/artfynd/S 642-2024 artfynd.xlsx", "S 642-2024")</f>
        <v/>
      </c>
      <c r="W5">
        <f>HYPERLINK("https://klasma.github.io/Logging_1260/kartor/S 642-2024 karta.png", "S 642-2024")</f>
        <v/>
      </c>
      <c r="X5">
        <f>HYPERLINK("https://klasma.github.io/Logging_1260/kartor_geotiff/S 642-2024 georefererad karta.tif", "S 642-2024")</f>
        <v/>
      </c>
      <c r="Z5">
        <f>HYPERLINK("https://klasma.github.io/Logging_1260/klagomål/S 642-2024 FSC-klagomål.docx", "S 642-2024")</f>
        <v/>
      </c>
      <c r="AA5">
        <f>HYPERLINK("https://klasma.github.io/Logging_1260/klagomålsmail/S 642-2024 FSC-klagomål mail.docx", "S 642-2024")</f>
        <v/>
      </c>
      <c r="AB5">
        <f>HYPERLINK("https://klasma.github.io/Logging_1260/tillsyn/S 642-2024 tillsynsbegäran.docx", "S 642-2024")</f>
        <v/>
      </c>
      <c r="AC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46223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46223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46223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46223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46223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46223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46223</v>
      </c>
      <c r="F13" t="inlineStr">
        <is>
          <t>SKÅNE LÄN</t>
        </is>
      </c>
      <c r="G13" t="inlineStr">
        <is>
          <t>BJUV</t>
        </is>
      </c>
      <c r="I13" t="n">
        <v>11.5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46223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46223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46223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46223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46223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46223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46223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46223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46223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46223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46223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2026-07-20T01:47:10Z</dcterms:created>
  <dcterms:modified xmlns:dcterms="http://purl.org/dc/terms/" xmlns:xsi="http://www.w3.org/2001/XMLSchema-instance" xsi:type="dcterms:W3CDTF">2026-07-20T01:47:10Z</dcterms:modified>
</cp:coreProperties>
</file>