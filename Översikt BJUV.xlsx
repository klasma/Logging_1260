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46232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46232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2</v>
      </c>
      <c r="V3" s="2" t="inlineStr">
        <is>
          <t>Entita
Röd glada</t>
        </is>
      </c>
      <c r="W3">
        <f>HYPERLINK("https://klasma.github.io/Logging_1260/artfynd/A 59876-2025 artfynd.xlsx", "A 59876-2025")</f>
        <v/>
      </c>
      <c r="X3">
        <f>HYPERLINK("https://klasma.github.io/Logging_1260/kartor/A 59876-2025 karta.png", "A 59876-2025")</f>
        <v/>
      </c>
      <c r="Y3">
        <f>HYPERLINK("https://klasma.github.io/Logging_1260/kartor_geotiff/A 59876-2025 georefererad karta.tif", "A 59876-2025")</f>
        <v/>
      </c>
      <c r="AA3">
        <f>HYPERLINK("https://klasma.github.io/Logging_1260/klagomål/A 59876-2025 FSC-klagomål.docx", "A 59876-2025")</f>
        <v/>
      </c>
      <c r="AB3">
        <f>HYPERLINK("https://klasma.github.io/Logging_1260/klagomålsmail/A 59876-2025 FSC-klagomål mail.docx", "A 59876-2025")</f>
        <v/>
      </c>
      <c r="AC3">
        <f>HYPERLINK("https://klasma.github.io/Logging_1260/tillsyn/A 59876-2025 tillsynsbegäran.docx", "A 59876-2025")</f>
        <v/>
      </c>
      <c r="AD3">
        <f>HYPERLINK("https://klasma.github.io/Logging_1260/tillsynsmail/A 59876-2025 tillsynsbegäran mail.docx", "A 59876-2025")</f>
        <v/>
      </c>
      <c r="AE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46232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Gulsparv
Dvärghäxört</t>
        </is>
      </c>
      <c r="W4">
        <f>HYPERLINK("https://klasma.github.io/Logging_1260/artfynd/A 50759-2025 artfynd.xlsx", "A 50759-2025")</f>
        <v/>
      </c>
      <c r="X4">
        <f>HYPERLINK("https://klasma.github.io/Logging_1260/kartor/A 50759-2025 karta.png", "A 50759-2025")</f>
        <v/>
      </c>
      <c r="Y4">
        <f>HYPERLINK("https://klasma.github.io/Logging_1260/kartor_geotiff/A 50759-2025 georefererad karta.tif", "A 50759-2025")</f>
        <v/>
      </c>
      <c r="AA4">
        <f>HYPERLINK("https://klasma.github.io/Logging_1260/klagomål/A 50759-2025 FSC-klagomål.docx", "A 50759-2025")</f>
        <v/>
      </c>
      <c r="AB4">
        <f>HYPERLINK("https://klasma.github.io/Logging_1260/klagomålsmail/A 50759-2025 FSC-klagomål mail.docx", "A 50759-2025")</f>
        <v/>
      </c>
      <c r="AC4">
        <f>HYPERLINK("https://klasma.github.io/Logging_1260/tillsyn/A 50759-2025 tillsynsbegäran.docx", "A 50759-2025")</f>
        <v/>
      </c>
      <c r="AD4">
        <f>HYPERLINK("https://klasma.github.io/Logging_1260/tillsynsmail/A 50759-2025 tillsynsbegäran mail.docx", "A 50759-2025")</f>
        <v/>
      </c>
      <c r="AE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46232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46232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46232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63548-2025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46013</v>
      </c>
      <c r="E8" s="1" t="n">
        <v>46232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59877-2025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45993</v>
      </c>
      <c r="E9" s="1" t="n">
        <v>46232</v>
      </c>
      <c r="F9" t="inlineStr">
        <is>
          <t>SKÅNE LÄN</t>
        </is>
      </c>
      <c r="G9" t="inlineStr">
        <is>
          <t>BJUV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22256-2022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46232</v>
      </c>
      <c r="F10" t="inlineStr">
        <is>
          <t>SKÅNE LÄN</t>
        </is>
      </c>
      <c r="G10" t="inlineStr">
        <is>
          <t>BJUV</t>
        </is>
      </c>
      <c r="I10" t="n">
        <v>11.2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46998-2025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45929</v>
      </c>
      <c r="E11" s="1" t="n">
        <v>46232</v>
      </c>
      <c r="F11" t="inlineStr">
        <is>
          <t>SKÅNE LÄN</t>
        </is>
      </c>
      <c r="G11" t="inlineStr">
        <is>
          <t>BJUV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57394-2024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46232</v>
      </c>
      <c r="F12" t="inlineStr">
        <is>
          <t>SKÅNE LÄN</t>
        </is>
      </c>
      <c r="G12" t="inlineStr">
        <is>
          <t>BJUV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6684-2026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46056</v>
      </c>
      <c r="E13" s="1" t="n">
        <v>46232</v>
      </c>
      <c r="F13" t="inlineStr">
        <is>
          <t>SKÅNE LÄN</t>
        </is>
      </c>
      <c r="G13" t="inlineStr">
        <is>
          <t>BJUV</t>
        </is>
      </c>
      <c r="I13" t="n">
        <v>8.199999999999999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46232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12510-2026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46090</v>
      </c>
      <c r="E15" s="1" t="n">
        <v>46232</v>
      </c>
      <c r="F15" t="inlineStr">
        <is>
          <t>SKÅNE LÄN</t>
        </is>
      </c>
      <c r="G15" t="inlineStr">
        <is>
          <t>BJUV</t>
        </is>
      </c>
      <c r="I15" t="n">
        <v>11.5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59471-2024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45638</v>
      </c>
      <c r="E16" s="1" t="n">
        <v>46232</v>
      </c>
      <c r="F16" t="inlineStr">
        <is>
          <t>SKÅNE LÄN</t>
        </is>
      </c>
      <c r="G16" t="inlineStr">
        <is>
          <t>BJUV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18118-2022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44684</v>
      </c>
      <c r="E17" s="1" t="n">
        <v>46232</v>
      </c>
      <c r="F17" t="inlineStr">
        <is>
          <t>SKÅNE LÄN</t>
        </is>
      </c>
      <c r="G17" t="inlineStr">
        <is>
          <t>BJUV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57391-2024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46232</v>
      </c>
      <c r="F18" t="inlineStr">
        <is>
          <t>SKÅNE LÄN</t>
        </is>
      </c>
      <c r="G18" t="inlineStr">
        <is>
          <t>BJUV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45233</v>
      </c>
      <c r="E19" s="1" t="n">
        <v>46232</v>
      </c>
      <c r="F19" t="inlineStr">
        <is>
          <t>SKÅNE LÄN</t>
        </is>
      </c>
      <c r="G19" t="inlineStr">
        <is>
          <t>BJUV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46232</v>
      </c>
      <c r="F20" t="inlineStr">
        <is>
          <t>SKÅNE LÄN</t>
        </is>
      </c>
      <c r="G20" t="inlineStr">
        <is>
          <t>BJUV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46232</v>
      </c>
      <c r="F21" t="inlineStr">
        <is>
          <t>SKÅNE LÄN</t>
        </is>
      </c>
      <c r="G21" t="inlineStr">
        <is>
          <t>BJUV</t>
        </is>
      </c>
      <c r="I21" t="n">
        <v>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26708-2023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46232</v>
      </c>
      <c r="F22" t="inlineStr">
        <is>
          <t>SKÅNE LÄN</t>
        </is>
      </c>
      <c r="G22" t="inlineStr">
        <is>
          <t>BJUV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46232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46232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2026-07-29T01:49:08Z</dcterms:created>
  <dcterms:modified xmlns:dcterms="http://purl.org/dc/terms/" xmlns:xsi="http://www.w3.org/2001/XMLSchema-instance" xsi:type="dcterms:W3CDTF">2026-07-29T01:49:08Z</dcterms:modified>
</cp:coreProperties>
</file>