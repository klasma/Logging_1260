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59875-2025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45993</v>
      </c>
      <c r="E2" s="1" t="n">
        <v>46324</v>
      </c>
      <c r="F2" t="inlineStr">
        <is>
          <t>SKÅNE LÄN</t>
        </is>
      </c>
      <c r="G2" t="inlineStr">
        <is>
          <t>BJUV</t>
        </is>
      </c>
      <c r="I2" t="n">
        <v>3.9</v>
      </c>
      <c r="J2" t="n">
        <v>6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6</v>
      </c>
      <c r="T2" t="n">
        <v>6</v>
      </c>
      <c r="U2" t="n">
        <v>6</v>
      </c>
      <c r="V2" s="2" t="inlineStr">
        <is>
          <t>Björktrast
Duvhök
Entita
Spillkråka
Grönsiska
Kungsfågel</t>
        </is>
      </c>
      <c r="W2">
        <f>HYPERLINK("https://klasma.github.io/Logging_1260/artfynd/A 59875-2025 artfynd.xlsx", "A 59875-2025")</f>
        <v/>
      </c>
      <c r="X2">
        <f>HYPERLINK("https://klasma.github.io/Logging_1260/kartor/A 59875-2025 karta.png", "A 59875-2025")</f>
        <v/>
      </c>
      <c r="Y2">
        <f>HYPERLINK("https://klasma.github.io/Logging_1260/kartor_geotiff/A 59875-2025 georefererad karta.tif", "A 59875-2025")</f>
        <v/>
      </c>
      <c r="AA2">
        <f>HYPERLINK("https://klasma.github.io/Logging_1260/klagomål/A 59875-2025 FSC-klagomål.docx", "A 59875-2025")</f>
        <v/>
      </c>
      <c r="AB2">
        <f>HYPERLINK("https://klasma.github.io/Logging_1260/klagomålsmail/A 59875-2025 FSC-klagomål mail.docx", "A 59875-2025")</f>
        <v/>
      </c>
      <c r="AC2">
        <f>HYPERLINK("https://klasma.github.io/Logging_1260/tillsyn/A 59875-2025 tillsynsbegäran.docx", "A 59875-2025")</f>
        <v/>
      </c>
      <c r="AD2">
        <f>HYPERLINK("https://klasma.github.io/Logging_1260/tillsynsmail/A 59875-2025 tillsynsbegäran mail.docx", "A 59875-2025")</f>
        <v/>
      </c>
      <c r="AE2">
        <f>HYPERLINK("https://klasma.github.io/Logging_1260/fåglar/A 59875-2025 prioriterade fågelarter.docx", "A 59875-2025")</f>
        <v/>
      </c>
    </row>
    <row r="3" ht="15" customHeight="1">
      <c r="A3" t="inlineStr">
        <is>
          <t>A 50759-2025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45946</v>
      </c>
      <c r="E3" s="1" t="n">
        <v>46324</v>
      </c>
      <c r="F3" t="inlineStr">
        <is>
          <t>SKÅNE LÄN</t>
        </is>
      </c>
      <c r="G3" t="inlineStr">
        <is>
          <t>BJUV</t>
        </is>
      </c>
      <c r="I3" t="n">
        <v>14.4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2</v>
      </c>
      <c r="U3" t="n">
        <v>0</v>
      </c>
      <c r="V3" s="2" t="inlineStr">
        <is>
          <t>Gulsparv
Dvärghäxört</t>
        </is>
      </c>
      <c r="W3">
        <f>HYPERLINK("https://klasma.github.io/Logging_1260/artfynd/A 50759-2025 artfynd.xlsx", "A 50759-2025")</f>
        <v/>
      </c>
      <c r="X3">
        <f>HYPERLINK("https://klasma.github.io/Logging_1260/kartor/A 50759-2025 karta.png", "A 50759-2025")</f>
        <v/>
      </c>
      <c r="Y3">
        <f>HYPERLINK("https://klasma.github.io/Logging_1260/kartor_geotiff/A 50759-2025 georefererad karta.tif", "A 50759-2025")</f>
        <v/>
      </c>
      <c r="AA3">
        <f>HYPERLINK("https://klasma.github.io/Logging_1260/klagomål/A 50759-2025 FSC-klagomål.docx", "A 50759-2025")</f>
        <v/>
      </c>
      <c r="AB3">
        <f>HYPERLINK("https://klasma.github.io/Logging_1260/klagomålsmail/A 50759-2025 FSC-klagomål mail.docx", "A 50759-2025")</f>
        <v/>
      </c>
      <c r="AC3">
        <f>HYPERLINK("https://klasma.github.io/Logging_1260/tillsyn/A 50759-2025 tillsynsbegäran.docx", "A 50759-2025")</f>
        <v/>
      </c>
      <c r="AD3">
        <f>HYPERLINK("https://klasma.github.io/Logging_1260/tillsynsmail/A 50759-2025 tillsynsbegäran mail.docx", "A 50759-2025")</f>
        <v/>
      </c>
      <c r="AE3">
        <f>HYPERLINK("https://klasma.github.io/Logging_1260/fåglar/A 50759-2025 prioriterade fågelarter.docx", "A 50759-2025")</f>
        <v/>
      </c>
    </row>
    <row r="4" ht="15" customHeight="1">
      <c r="A4" t="inlineStr">
        <is>
          <t>A 59876-2025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45993</v>
      </c>
      <c r="E4" s="1" t="n">
        <v>46324</v>
      </c>
      <c r="F4" t="inlineStr">
        <is>
          <t>SKÅNE LÄN</t>
        </is>
      </c>
      <c r="G4" t="inlineStr">
        <is>
          <t>BJUV</t>
        </is>
      </c>
      <c r="I4" t="n">
        <v>4.2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2</v>
      </c>
      <c r="U4" t="n">
        <v>2</v>
      </c>
      <c r="V4" s="2" t="inlineStr">
        <is>
          <t>Entita
Röd glada</t>
        </is>
      </c>
      <c r="W4">
        <f>HYPERLINK("https://klasma.github.io/Logging_1260/artfynd/A 59876-2025 artfynd.xlsx", "A 59876-2025")</f>
        <v/>
      </c>
      <c r="X4">
        <f>HYPERLINK("https://klasma.github.io/Logging_1260/kartor/A 59876-2025 karta.png", "A 59876-2025")</f>
        <v/>
      </c>
      <c r="Y4">
        <f>HYPERLINK("https://klasma.github.io/Logging_1260/kartor_geotiff/A 59876-2025 georefererad karta.tif", "A 59876-2025")</f>
        <v/>
      </c>
      <c r="AA4">
        <f>HYPERLINK("https://klasma.github.io/Logging_1260/klagomål/A 59876-2025 FSC-klagomål.docx", "A 59876-2025")</f>
        <v/>
      </c>
      <c r="AB4">
        <f>HYPERLINK("https://klasma.github.io/Logging_1260/klagomålsmail/A 59876-2025 FSC-klagomål mail.docx", "A 59876-2025")</f>
        <v/>
      </c>
      <c r="AC4">
        <f>HYPERLINK("https://klasma.github.io/Logging_1260/tillsyn/A 59876-2025 tillsynsbegäran.docx", "A 59876-2025")</f>
        <v/>
      </c>
      <c r="AD4">
        <f>HYPERLINK("https://klasma.github.io/Logging_1260/tillsynsmail/A 59876-2025 tillsynsbegäran mail.docx", "A 59876-2025")</f>
        <v/>
      </c>
      <c r="AE4">
        <f>HYPERLINK("https://klasma.github.io/Logging_1260/fåglar/A 59876-2025 prioriterade fågelarter.docx", "A 59876-2025")</f>
        <v/>
      </c>
    </row>
    <row r="5" ht="15" customHeight="1">
      <c r="A5" t="inlineStr">
        <is>
          <t>S 642-2024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45356</v>
      </c>
      <c r="E5" s="1" t="n">
        <v>46324</v>
      </c>
      <c r="F5" t="inlineStr">
        <is>
          <t>SKÅNE LÄN</t>
        </is>
      </c>
      <c r="G5" t="inlineStr">
        <is>
          <t>BJUV</t>
        </is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s="2" t="inlineStr">
        <is>
          <t>Ask</t>
        </is>
      </c>
      <c r="W5">
        <f>HYPERLINK("https://klasma.github.io/Logging_1260/artfynd/S 642-2024 artfynd.xlsx", "S 642-2024")</f>
        <v/>
      </c>
      <c r="X5">
        <f>HYPERLINK("https://klasma.github.io/Logging_1260/kartor/S 642-2024 karta.png", "S 642-2024")</f>
        <v/>
      </c>
      <c r="Y5">
        <f>HYPERLINK("https://klasma.github.io/Logging_1260/kartor_geotiff/S 642-2024 georefererad karta.tif", "S 642-2024")</f>
        <v/>
      </c>
      <c r="AA5">
        <f>HYPERLINK("https://klasma.github.io/Logging_1260/klagomål/S 642-2024 FSC-klagomål.docx", "S 642-2024")</f>
        <v/>
      </c>
      <c r="AB5">
        <f>HYPERLINK("https://klasma.github.io/Logging_1260/klagomålsmail/S 642-2024 FSC-klagomål mail.docx", "S 642-2024")</f>
        <v/>
      </c>
      <c r="AC5">
        <f>HYPERLINK("https://klasma.github.io/Logging_1260/tillsyn/S 642-2024 tillsynsbegäran.docx", "S 642-2024")</f>
        <v/>
      </c>
      <c r="AD5">
        <f>HYPERLINK("https://klasma.github.io/Logging_1260/tillsynsmail/S 642-2024 tillsynsbegäran mail.docx", "S 642-2024")</f>
        <v/>
      </c>
    </row>
    <row r="6" ht="15" customHeight="1">
      <c r="A6" t="inlineStr">
        <is>
          <t>A 18118-2022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44684</v>
      </c>
      <c r="E6" s="1" t="n">
        <v>46324</v>
      </c>
      <c r="F6" t="inlineStr">
        <is>
          <t>SKÅNE LÄN</t>
        </is>
      </c>
      <c r="G6" t="inlineStr">
        <is>
          <t>BJUV</t>
        </is>
      </c>
      <c r="I6" t="n">
        <v>4.2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20202-2022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44698</v>
      </c>
      <c r="E7" s="1" t="n">
        <v>46324</v>
      </c>
      <c r="F7" t="inlineStr">
        <is>
          <t>SKÅNE LÄN</t>
        </is>
      </c>
      <c r="G7" t="inlineStr">
        <is>
          <t>BJUV</t>
        </is>
      </c>
      <c r="I7" t="n">
        <v>0.8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57391-2024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45629</v>
      </c>
      <c r="E8" s="1" t="n">
        <v>46324</v>
      </c>
      <c r="F8" t="inlineStr">
        <is>
          <t>SKÅNE LÄN</t>
        </is>
      </c>
      <c r="G8" t="inlineStr">
        <is>
          <t>BJUV</t>
        </is>
      </c>
      <c r="I8" t="n">
        <v>1.8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54557-2023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45233</v>
      </c>
      <c r="E9" s="1" t="n">
        <v>46324</v>
      </c>
      <c r="F9" t="inlineStr">
        <is>
          <t>SKÅNE LÄN</t>
        </is>
      </c>
      <c r="G9" t="inlineStr">
        <is>
          <t>BJUV</t>
        </is>
      </c>
      <c r="I9" t="n">
        <v>3.8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325-2024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45295</v>
      </c>
      <c r="E10" s="1" t="n">
        <v>46324</v>
      </c>
      <c r="F10" t="inlineStr">
        <is>
          <t>SKÅNE LÄN</t>
        </is>
      </c>
      <c r="G10" t="inlineStr">
        <is>
          <t>BJUV</t>
        </is>
      </c>
      <c r="I10" t="n">
        <v>2.1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46998-2025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45929</v>
      </c>
      <c r="E11" s="1" t="n">
        <v>46324</v>
      </c>
      <c r="F11" t="inlineStr">
        <is>
          <t>SKÅNE LÄN</t>
        </is>
      </c>
      <c r="G11" t="inlineStr">
        <is>
          <t>BJUV</t>
        </is>
      </c>
      <c r="I11" t="n">
        <v>0.9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20054-2024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45434</v>
      </c>
      <c r="E12" s="1" t="n">
        <v>46324</v>
      </c>
      <c r="F12" t="inlineStr">
        <is>
          <t>SKÅNE LÄN</t>
        </is>
      </c>
      <c r="G12" t="inlineStr">
        <is>
          <t>BJUV</t>
        </is>
      </c>
      <c r="I12" t="n">
        <v>7.3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26708-2023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45093</v>
      </c>
      <c r="E13" s="1" t="n">
        <v>46324</v>
      </c>
      <c r="F13" t="inlineStr">
        <is>
          <t>SKÅNE LÄN</t>
        </is>
      </c>
      <c r="G13" t="inlineStr">
        <is>
          <t>BJUV</t>
        </is>
      </c>
      <c r="I13" t="n">
        <v>4.1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53218-2023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45229</v>
      </c>
      <c r="E14" s="1" t="n">
        <v>46324</v>
      </c>
      <c r="F14" t="inlineStr">
        <is>
          <t>SKÅNE LÄN</t>
        </is>
      </c>
      <c r="G14" t="inlineStr">
        <is>
          <t>BJUV</t>
        </is>
      </c>
      <c r="I14" t="n">
        <v>5.4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14674-2024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45397</v>
      </c>
      <c r="E15" s="1" t="n">
        <v>46324</v>
      </c>
      <c r="F15" t="inlineStr">
        <is>
          <t>SKÅNE LÄN</t>
        </is>
      </c>
      <c r="G15" t="inlineStr">
        <is>
          <t>BJUV</t>
        </is>
      </c>
      <c r="I15" t="n">
        <v>4.8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4574-2025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45687</v>
      </c>
      <c r="E16" s="1" t="n">
        <v>46324</v>
      </c>
      <c r="F16" t="inlineStr">
        <is>
          <t>SKÅNE LÄN</t>
        </is>
      </c>
      <c r="G16" t="inlineStr">
        <is>
          <t>BJUV</t>
        </is>
      </c>
      <c r="H16" t="inlineStr">
        <is>
          <t>Kyrkan</t>
        </is>
      </c>
      <c r="I16" t="n">
        <v>6.2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63548-2025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46013</v>
      </c>
      <c r="E17" s="1" t="n">
        <v>46324</v>
      </c>
      <c r="F17" t="inlineStr">
        <is>
          <t>SKÅNE LÄN</t>
        </is>
      </c>
      <c r="G17" t="inlineStr">
        <is>
          <t>BJUV</t>
        </is>
      </c>
      <c r="I17" t="n">
        <v>0.9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59877-2025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45993</v>
      </c>
      <c r="E18" s="1" t="n">
        <v>46324</v>
      </c>
      <c r="F18" t="inlineStr">
        <is>
          <t>SKÅNE LÄN</t>
        </is>
      </c>
      <c r="G18" t="inlineStr">
        <is>
          <t>BJUV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6684-2026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46056</v>
      </c>
      <c r="E19" s="1" t="n">
        <v>46324</v>
      </c>
      <c r="F19" t="inlineStr">
        <is>
          <t>SKÅNE LÄN</t>
        </is>
      </c>
      <c r="G19" t="inlineStr">
        <is>
          <t>BJUV</t>
        </is>
      </c>
      <c r="I19" t="n">
        <v>8.199999999999999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38182-2024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45545</v>
      </c>
      <c r="E20" s="1" t="n">
        <v>46324</v>
      </c>
      <c r="F20" t="inlineStr">
        <is>
          <t>SKÅNE LÄN</t>
        </is>
      </c>
      <c r="G20" t="inlineStr">
        <is>
          <t>BJUV</t>
        </is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22256-2022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44712</v>
      </c>
      <c r="E21" s="1" t="n">
        <v>46324</v>
      </c>
      <c r="F21" t="inlineStr">
        <is>
          <t>SKÅNE LÄN</t>
        </is>
      </c>
      <c r="G21" t="inlineStr">
        <is>
          <t>BJUV</t>
        </is>
      </c>
      <c r="I21" t="n">
        <v>11.2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57394-2024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45629</v>
      </c>
      <c r="E22" s="1" t="n">
        <v>46324</v>
      </c>
      <c r="F22" t="inlineStr">
        <is>
          <t>SKÅNE LÄN</t>
        </is>
      </c>
      <c r="G22" t="inlineStr">
        <is>
          <t>BJUV</t>
        </is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32099-2026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46234</v>
      </c>
      <c r="E23" s="1" t="n">
        <v>46324</v>
      </c>
      <c r="F23" t="inlineStr">
        <is>
          <t>SKÅNE LÄN</t>
        </is>
      </c>
      <c r="G23" t="inlineStr">
        <is>
          <t>BJUV</t>
        </is>
      </c>
      <c r="I23" t="n">
        <v>2.6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59471-2024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45638</v>
      </c>
      <c r="E24" s="1" t="n">
        <v>46324</v>
      </c>
      <c r="F24" t="inlineStr">
        <is>
          <t>SKÅNE LÄN</t>
        </is>
      </c>
      <c r="G24" t="inlineStr">
        <is>
          <t>BJUV</t>
        </is>
      </c>
      <c r="I24" t="n">
        <v>1.8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>
      <c r="A25" t="inlineStr">
        <is>
          <t>A 37514-2026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46276</v>
      </c>
      <c r="E25" s="1" t="n">
        <v>46324</v>
      </c>
      <c r="F25" t="inlineStr">
        <is>
          <t>SKÅNE LÄN</t>
        </is>
      </c>
      <c r="G25" t="inlineStr">
        <is>
          <t>BJUV</t>
        </is>
      </c>
      <c r="I25" t="n">
        <v>3.8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2026-10-29T03:13:35Z</dcterms:created>
  <dcterms:modified xmlns:dcterms="http://purl.org/dc/terms/" xmlns:xsi="http://www.w3.org/2001/XMLSchema-instance" xsi:type="dcterms:W3CDTF">2026-10-29T03:13:35Z</dcterms:modified>
</cp:coreProperties>
</file>