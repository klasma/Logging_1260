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46217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s="2" t="inlineStr">
        <is>
          <t>Björktrast
Duvhök
Entita
Spillkråka
Grönsiska
Kungsfågel</t>
        </is>
      </c>
      <c r="V2">
        <f>HYPERLINK("https://klasma.github.io/Logging_1260/artfynd/A 59875-2025 artfynd.xlsx", "A 59875-2025")</f>
        <v/>
      </c>
      <c r="W2">
        <f>HYPERLINK("https://klasma.github.io/Logging_1260/kartor/A 59875-2025 karta.png", "A 59875-2025")</f>
        <v/>
      </c>
      <c r="Y2">
        <f>HYPERLINK("https://klasma.github.io/Logging_1260/klagomål/A 59875-2025 FSC-klagomål.docx", "A 59875-2025")</f>
        <v/>
      </c>
      <c r="Z2">
        <f>HYPERLINK("https://klasma.github.io/Logging_1260/klagomålsmail/A 59875-2025 FSC-klagomål mail.docx", "A 59875-2025")</f>
        <v/>
      </c>
      <c r="AA2">
        <f>HYPERLINK("https://klasma.github.io/Logging_1260/tillsyn/A 59875-2025 tillsynsbegäran.docx", "A 59875-2025")</f>
        <v/>
      </c>
      <c r="AB2">
        <f>HYPERLINK("https://klasma.github.io/Logging_1260/tillsynsmail/A 59875-2025 tillsynsbegäran mail.docx", "A 59875-2025")</f>
        <v/>
      </c>
      <c r="AC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46217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Gulsparv
Dvärghäxört</t>
        </is>
      </c>
      <c r="V3">
        <f>HYPERLINK("https://klasma.github.io/Logging_1260/artfynd/A 50759-2025 artfynd.xlsx", "A 50759-2025")</f>
        <v/>
      </c>
      <c r="W3">
        <f>HYPERLINK("https://klasma.github.io/Logging_1260/kartor/A 50759-2025 karta.png", "A 50759-2025")</f>
        <v/>
      </c>
      <c r="Y3">
        <f>HYPERLINK("https://klasma.github.io/Logging_1260/klagomål/A 50759-2025 FSC-klagomål.docx", "A 50759-2025")</f>
        <v/>
      </c>
      <c r="Z3">
        <f>HYPERLINK("https://klasma.github.io/Logging_1260/klagomålsmail/A 50759-2025 FSC-klagomål mail.docx", "A 50759-2025")</f>
        <v/>
      </c>
      <c r="AA3">
        <f>HYPERLINK("https://klasma.github.io/Logging_1260/tillsyn/A 50759-2025 tillsynsbegäran.docx", "A 50759-2025")</f>
        <v/>
      </c>
      <c r="AB3">
        <f>HYPERLINK("https://klasma.github.io/Logging_1260/tillsynsmail/A 50759-2025 tillsynsbegäran mail.docx", "A 50759-2025")</f>
        <v/>
      </c>
      <c r="AC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46217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Entita
Röd glada</t>
        </is>
      </c>
      <c r="V4">
        <f>HYPERLINK("https://klasma.github.io/Logging_1260/artfynd/A 59876-2025 artfynd.xlsx", "A 59876-2025")</f>
        <v/>
      </c>
      <c r="W4">
        <f>HYPERLINK("https://klasma.github.io/Logging_1260/kartor/A 59876-2025 karta.png", "A 59876-2025")</f>
        <v/>
      </c>
      <c r="Y4">
        <f>HYPERLINK("https://klasma.github.io/Logging_1260/klagomål/A 59876-2025 FSC-klagomål.docx", "A 59876-2025")</f>
        <v/>
      </c>
      <c r="Z4">
        <f>HYPERLINK("https://klasma.github.io/Logging_1260/klagomålsmail/A 59876-2025 FSC-klagomål mail.docx", "A 59876-2025")</f>
        <v/>
      </c>
      <c r="AA4">
        <f>HYPERLINK("https://klasma.github.io/Logging_1260/tillsyn/A 59876-2025 tillsynsbegäran.docx", "A 59876-2025")</f>
        <v/>
      </c>
      <c r="AB4">
        <f>HYPERLINK("https://klasma.github.io/Logging_1260/tillsynsmail/A 59876-2025 tillsynsbegäran mail.docx", "A 59876-2025")</f>
        <v/>
      </c>
      <c r="AC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46217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HYPERLINK("https://klasma.github.io/Logging_1260/artfynd/S 642-2024 artfynd.xlsx", "S 642-2024")</f>
        <v/>
      </c>
      <c r="W5">
        <f>HYPERLINK("https://klasma.github.io/Logging_1260/kartor/S 642-2024 karta.png", "S 642-2024")</f>
        <v/>
      </c>
      <c r="Y5">
        <f>HYPERLINK("https://klasma.github.io/Logging_1260/klagomål/S 642-2024 FSC-klagomål.docx", "S 642-2024")</f>
        <v/>
      </c>
      <c r="Z5">
        <f>HYPERLINK("https://klasma.github.io/Logging_1260/klagomålsmail/S 642-2024 FSC-klagomål mail.docx", "S 642-2024")</f>
        <v/>
      </c>
      <c r="AA5">
        <f>HYPERLINK("https://klasma.github.io/Logging_1260/tillsyn/S 642-2024 tillsynsbegäran.docx", "S 642-2024")</f>
        <v/>
      </c>
      <c r="AB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46217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46217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46217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57391-2024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46217</v>
      </c>
      <c r="F9" t="inlineStr">
        <is>
          <t>SKÅNE LÄN</t>
        </is>
      </c>
      <c r="G9" t="inlineStr">
        <is>
          <t>BJUV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46217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26708-2023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46217</v>
      </c>
      <c r="F11" t="inlineStr">
        <is>
          <t>SKÅNE LÄN</t>
        </is>
      </c>
      <c r="G11" t="inlineStr">
        <is>
          <t>BJUV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53218-2023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45229</v>
      </c>
      <c r="E12" s="1" t="n">
        <v>46217</v>
      </c>
      <c r="F12" t="inlineStr">
        <is>
          <t>SKÅNE LÄN</t>
        </is>
      </c>
      <c r="G12" t="inlineStr">
        <is>
          <t>BJUV</t>
        </is>
      </c>
      <c r="I12" t="n">
        <v>5.4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14674-2024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45397</v>
      </c>
      <c r="E13" s="1" t="n">
        <v>46217</v>
      </c>
      <c r="F13" t="inlineStr">
        <is>
          <t>SKÅNE LÄN</t>
        </is>
      </c>
      <c r="G13" t="inlineStr">
        <is>
          <t>BJUV</t>
        </is>
      </c>
      <c r="I13" t="n">
        <v>4.8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22256-2022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46217</v>
      </c>
      <c r="F14" t="inlineStr">
        <is>
          <t>SKÅNE LÄN</t>
        </is>
      </c>
      <c r="G14" t="inlineStr">
        <is>
          <t>BJUV</t>
        </is>
      </c>
      <c r="I14" t="n">
        <v>11.2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46217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20054-2024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46217</v>
      </c>
      <c r="F16" t="inlineStr">
        <is>
          <t>SKÅNE LÄN</t>
        </is>
      </c>
      <c r="G16" t="inlineStr">
        <is>
          <t>BJUV</t>
        </is>
      </c>
      <c r="I16" t="n">
        <v>7.3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59877-2025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45993</v>
      </c>
      <c r="E17" s="1" t="n">
        <v>46217</v>
      </c>
      <c r="F17" t="inlineStr">
        <is>
          <t>SKÅNE LÄN</t>
        </is>
      </c>
      <c r="G17" t="inlineStr">
        <is>
          <t>BJUV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57394-2024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46217</v>
      </c>
      <c r="F18" t="inlineStr">
        <is>
          <t>SKÅNE LÄN</t>
        </is>
      </c>
      <c r="G18" t="inlineStr">
        <is>
          <t>BJUV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46217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12510-2026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46090</v>
      </c>
      <c r="E20" s="1" t="n">
        <v>46217</v>
      </c>
      <c r="F20" t="inlineStr">
        <is>
          <t>SKÅNE LÄN</t>
        </is>
      </c>
      <c r="G20" t="inlineStr">
        <is>
          <t>BJUV</t>
        </is>
      </c>
      <c r="I20" t="n">
        <v>11.5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46217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46217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46217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46217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2026-07-14T08:58:49Z</dcterms:created>
  <dcterms:modified xmlns:dcterms="http://purl.org/dc/terms/" xmlns:xsi="http://www.w3.org/2001/XMLSchema-instance" xsi:type="dcterms:W3CDTF">2026-07-14T08:58:49Z</dcterms:modified>
</cp:coreProperties>
</file>